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2980 - How to make a football field in Excel\"/>
    </mc:Choice>
  </mc:AlternateContent>
  <xr:revisionPtr revIDLastSave="0" documentId="13_ncr:1_{27D80C4B-472B-462B-B712-4850BDD70BC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ootBall Field" sheetId="16" r:id="rId1"/>
  </sheets>
  <definedNames>
    <definedName name="Company_Name" localSheetId="0">'FootBall Field'!$X$5</definedName>
    <definedName name="Company_Name">#REF!</definedName>
    <definedName name="_xlnm.Print_Area" localSheetId="0">'FootBall Field'!$A$1:$W$29</definedName>
    <definedName name="Share_Price" localSheetId="0">'FootBall Field'!$X$6</definedName>
    <definedName name="Share_Price">#REF!</definedName>
  </definedNames>
  <calcPr calcId="191029" iterate="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2" i="16" l="1"/>
  <c r="K52" i="16"/>
  <c r="L52" i="16"/>
  <c r="M52" i="16"/>
  <c r="I52" i="16"/>
  <c r="Q34" i="16"/>
  <c r="R50" i="16"/>
  <c r="Q50" i="16"/>
  <c r="P50" i="16"/>
  <c r="O50" i="16"/>
  <c r="N50" i="16"/>
  <c r="R49" i="16"/>
  <c r="Q49" i="16"/>
  <c r="P49" i="16"/>
  <c r="O49" i="16"/>
  <c r="N49" i="16"/>
  <c r="R48" i="16"/>
  <c r="Q48" i="16"/>
  <c r="P48" i="16"/>
  <c r="O48" i="16"/>
  <c r="N48" i="16"/>
  <c r="R47" i="16"/>
  <c r="Q47" i="16"/>
  <c r="P47" i="16"/>
  <c r="O47" i="16"/>
  <c r="N47" i="16"/>
  <c r="R46" i="16"/>
  <c r="Q46" i="16"/>
  <c r="P46" i="16"/>
  <c r="O46" i="16"/>
  <c r="N46" i="16"/>
  <c r="R45" i="16"/>
  <c r="Q45" i="16"/>
  <c r="P45" i="16"/>
  <c r="O45" i="16"/>
  <c r="N45" i="16"/>
  <c r="R44" i="16"/>
  <c r="Q44" i="16"/>
  <c r="P44" i="16"/>
  <c r="O44" i="16"/>
  <c r="N44" i="16"/>
  <c r="R43" i="16"/>
  <c r="Q43" i="16"/>
  <c r="P43" i="16"/>
  <c r="O43" i="16"/>
  <c r="N43" i="16"/>
  <c r="R42" i="16"/>
  <c r="Q42" i="16"/>
  <c r="P42" i="16"/>
  <c r="O42" i="16"/>
  <c r="N42" i="16"/>
  <c r="R40" i="16"/>
  <c r="Q40" i="16"/>
  <c r="P40" i="16"/>
  <c r="O40" i="16"/>
  <c r="N40" i="16"/>
  <c r="R39" i="16"/>
  <c r="Q39" i="16"/>
  <c r="P39" i="16"/>
  <c r="O39" i="16"/>
  <c r="N39" i="16"/>
  <c r="R38" i="16"/>
  <c r="Q38" i="16"/>
  <c r="P38" i="16"/>
  <c r="O38" i="16"/>
  <c r="N38" i="16"/>
  <c r="R37" i="16"/>
  <c r="Q37" i="16"/>
  <c r="P37" i="16"/>
  <c r="O37" i="16"/>
  <c r="N37" i="16"/>
  <c r="R36" i="16"/>
  <c r="Q36" i="16"/>
  <c r="P36" i="16"/>
  <c r="O36" i="16"/>
  <c r="N36" i="16"/>
  <c r="P34" i="16"/>
  <c r="R34" i="16"/>
  <c r="O34" i="16"/>
  <c r="N34" i="16"/>
  <c r="B27" i="16"/>
</calcChain>
</file>

<file path=xl/sharedStrings.xml><?xml version="1.0" encoding="utf-8"?>
<sst xmlns="http://schemas.openxmlformats.org/spreadsheetml/2006/main" count="30" uniqueCount="27">
  <si>
    <t>Median</t>
  </si>
  <si>
    <t>25th</t>
  </si>
  <si>
    <t>75th</t>
  </si>
  <si>
    <t>Min</t>
  </si>
  <si>
    <t>Max</t>
  </si>
  <si>
    <t>Min Point</t>
  </si>
  <si>
    <t>25th Point</t>
  </si>
  <si>
    <t>Median Point</t>
  </si>
  <si>
    <t>75th Point</t>
  </si>
  <si>
    <t>Max Point</t>
  </si>
  <si>
    <t>1-Day Premiums:</t>
  </si>
  <si>
    <t>1-Week Premiums:</t>
  </si>
  <si>
    <t>1-Month Premiums:</t>
  </si>
  <si>
    <t>LTM EV / EBITDA:</t>
  </si>
  <si>
    <t>LTM EV / Revenue:</t>
  </si>
  <si>
    <t>LTM Reported P / E:</t>
  </si>
  <si>
    <t>Projected Year 1 Reported P / E:</t>
  </si>
  <si>
    <t>Projected Year 2 Reported P / E:</t>
  </si>
  <si>
    <t>Projected Year 2 EV / EBITDA:</t>
  </si>
  <si>
    <t>Projected Year 1 EV / EBITDA:</t>
  </si>
  <si>
    <t>Projected Year 2 EV / Revenue:</t>
  </si>
  <si>
    <t>Projected Year 1 EV / Revenue:</t>
  </si>
  <si>
    <t>Company Name:</t>
  </si>
  <si>
    <t>Current Share Price:</t>
  </si>
  <si>
    <t>5.20% - 6.60% WACC, 1.00% - 2.00% Terminal FCF Growth Rate:</t>
  </si>
  <si>
    <t>Company XYZ</t>
  </si>
  <si>
    <t>Valuation Range and Implied Share Price for Company 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</si>
</sst>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</numFmts>
  <fonts count="18" x14ac:knownFonts="1"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</font>
    <font>
      <sz val="10"/>
      <name val="Arial"/>
      <family val="2"/>
    </font>
    <font>
      <sz val="8"/>
      <color indexed="8"/>
      <name val="Arial"/>
      <family val="2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rgb="FF00B050"/>
      <name val="Calibri"/>
      <family val="2"/>
    </font>
    <font>
      <sz val="12"/>
      <color rgb="FF37415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0" fontId="9" fillId="2" borderId="1" applyNumberFormat="0" applyAlignment="0" applyProtection="0"/>
    <xf numFmtId="0" fontId="10" fillId="0" borderId="0"/>
    <xf numFmtId="0" fontId="8" fillId="0" borderId="0"/>
    <xf numFmtId="0" fontId="7" fillId="0" borderId="0"/>
    <xf numFmtId="0" fontId="11" fillId="0" borderId="0" applyAlignment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0" fillId="0" borderId="0"/>
  </cellStyleXfs>
  <cellXfs count="63">
    <xf numFmtId="0" fontId="0" fillId="0" borderId="0" xfId="0"/>
    <xf numFmtId="0" fontId="2" fillId="0" borderId="0" xfId="10" applyFont="1"/>
    <xf numFmtId="43" fontId="14" fillId="0" borderId="0" xfId="10" applyNumberFormat="1" applyFont="1"/>
    <xf numFmtId="43" fontId="13" fillId="0" borderId="0" xfId="10" applyNumberFormat="1" applyFont="1"/>
    <xf numFmtId="0" fontId="14" fillId="0" borderId="0" xfId="10" applyFont="1"/>
    <xf numFmtId="0" fontId="1" fillId="0" borderId="0" xfId="10" applyFont="1"/>
    <xf numFmtId="0" fontId="1" fillId="0" borderId="0" xfId="0" applyFont="1"/>
    <xf numFmtId="0" fontId="12" fillId="3" borderId="0" xfId="10" applyFont="1" applyFill="1"/>
    <xf numFmtId="44" fontId="15" fillId="5" borderId="2" xfId="10" applyNumberFormat="1" applyFont="1" applyFill="1" applyBorder="1" applyAlignment="1"/>
    <xf numFmtId="0" fontId="16" fillId="0" borderId="2" xfId="0" applyFont="1" applyBorder="1"/>
    <xf numFmtId="0" fontId="16" fillId="5" borderId="2" xfId="0" applyFont="1" applyFill="1" applyBorder="1"/>
    <xf numFmtId="0" fontId="12" fillId="3" borderId="3" xfId="10" applyFont="1" applyFill="1" applyBorder="1"/>
    <xf numFmtId="0" fontId="12" fillId="3" borderId="4" xfId="10" applyFont="1" applyFill="1" applyBorder="1"/>
    <xf numFmtId="0" fontId="12" fillId="3" borderId="5" xfId="10" applyFont="1" applyFill="1" applyBorder="1"/>
    <xf numFmtId="0" fontId="12" fillId="3" borderId="6" xfId="10" applyFont="1" applyFill="1" applyBorder="1"/>
    <xf numFmtId="0" fontId="12" fillId="3" borderId="0" xfId="10" applyFont="1" applyFill="1" applyBorder="1"/>
    <xf numFmtId="0" fontId="12" fillId="3" borderId="7" xfId="10" applyFont="1" applyFill="1" applyBorder="1"/>
    <xf numFmtId="0" fontId="12" fillId="3" borderId="8" xfId="10" applyFont="1" applyFill="1" applyBorder="1"/>
    <xf numFmtId="0" fontId="12" fillId="3" borderId="9" xfId="10" applyFont="1" applyFill="1" applyBorder="1"/>
    <xf numFmtId="0" fontId="12" fillId="3" borderId="10" xfId="10" applyFont="1" applyFill="1" applyBorder="1"/>
    <xf numFmtId="0" fontId="2" fillId="0" borderId="4" xfId="10" applyFont="1" applyBorder="1"/>
    <xf numFmtId="0" fontId="16" fillId="0" borderId="4" xfId="0" applyFont="1" applyBorder="1"/>
    <xf numFmtId="0" fontId="2" fillId="0" borderId="0" xfId="10" applyFont="1" applyBorder="1"/>
    <xf numFmtId="0" fontId="2" fillId="0" borderId="9" xfId="10" applyFont="1" applyBorder="1"/>
    <xf numFmtId="0" fontId="16" fillId="0" borderId="12" xfId="0" applyFont="1" applyBorder="1"/>
    <xf numFmtId="0" fontId="16" fillId="0" borderId="3" xfId="0" applyFont="1" applyBorder="1"/>
    <xf numFmtId="0" fontId="16" fillId="5" borderId="14" xfId="0" applyFont="1" applyFill="1" applyBorder="1"/>
    <xf numFmtId="0" fontId="16" fillId="0" borderId="14" xfId="0" applyFont="1" applyBorder="1"/>
    <xf numFmtId="0" fontId="16" fillId="0" borderId="15" xfId="0" applyFont="1" applyBorder="1"/>
    <xf numFmtId="0" fontId="12" fillId="3" borderId="3" xfId="10" applyNumberFormat="1" applyFont="1" applyFill="1" applyBorder="1" applyAlignment="1"/>
    <xf numFmtId="0" fontId="12" fillId="3" borderId="4" xfId="10" applyNumberFormat="1" applyFont="1" applyFill="1" applyBorder="1" applyAlignment="1"/>
    <xf numFmtId="0" fontId="12" fillId="3" borderId="4" xfId="10" applyNumberFormat="1" applyFont="1" applyFill="1" applyBorder="1" applyAlignment="1">
      <alignment horizontal="center"/>
    </xf>
    <xf numFmtId="0" fontId="12" fillId="3" borderId="5" xfId="10" applyNumberFormat="1" applyFont="1" applyFill="1" applyBorder="1" applyAlignment="1">
      <alignment horizontal="center"/>
    </xf>
    <xf numFmtId="44" fontId="15" fillId="5" borderId="14" xfId="10" applyNumberFormat="1" applyFont="1" applyFill="1" applyBorder="1" applyAlignment="1"/>
    <xf numFmtId="44" fontId="15" fillId="5" borderId="11" xfId="10" applyNumberFormat="1" applyFont="1" applyFill="1" applyBorder="1" applyAlignment="1"/>
    <xf numFmtId="8" fontId="16" fillId="0" borderId="15" xfId="0" applyNumberFormat="1" applyFont="1" applyBorder="1"/>
    <xf numFmtId="8" fontId="16" fillId="0" borderId="12" xfId="0" applyNumberFormat="1" applyFont="1" applyBorder="1"/>
    <xf numFmtId="0" fontId="12" fillId="3" borderId="16" xfId="10" applyFont="1" applyFill="1" applyBorder="1"/>
    <xf numFmtId="0" fontId="12" fillId="3" borderId="17" xfId="10" applyFont="1" applyFill="1" applyBorder="1"/>
    <xf numFmtId="49" fontId="13" fillId="4" borderId="18" xfId="1" applyNumberFormat="1" applyFont="1" applyFill="1" applyBorder="1" applyAlignment="1">
      <alignment horizontal="left"/>
    </xf>
    <xf numFmtId="44" fontId="13" fillId="4" borderId="19" xfId="1" applyNumberFormat="1" applyFont="1" applyFill="1" applyBorder="1"/>
    <xf numFmtId="0" fontId="12" fillId="3" borderId="20" xfId="10" applyFont="1" applyFill="1" applyBorder="1"/>
    <xf numFmtId="8" fontId="1" fillId="0" borderId="12" xfId="10" applyNumberFormat="1" applyFont="1" applyBorder="1" applyAlignment="1"/>
    <xf numFmtId="8" fontId="1" fillId="0" borderId="0" xfId="10" applyNumberFormat="1" applyFont="1" applyBorder="1" applyAlignment="1"/>
    <xf numFmtId="0" fontId="16" fillId="0" borderId="0" xfId="0" applyFont="1" applyBorder="1"/>
    <xf numFmtId="0" fontId="16" fillId="5" borderId="0" xfId="0" applyFont="1" applyFill="1" applyBorder="1"/>
    <xf numFmtId="0" fontId="0" fillId="0" borderId="4" xfId="0" applyFont="1" applyBorder="1"/>
    <xf numFmtId="0" fontId="0" fillId="5" borderId="2" xfId="0" applyFont="1" applyFill="1" applyBorder="1"/>
    <xf numFmtId="0" fontId="0" fillId="0" borderId="2" xfId="0" applyFont="1" applyBorder="1"/>
    <xf numFmtId="0" fontId="0" fillId="0" borderId="12" xfId="0" applyFont="1" applyBorder="1"/>
    <xf numFmtId="0" fontId="0" fillId="0" borderId="5" xfId="0" applyFont="1" applyBorder="1"/>
    <xf numFmtId="0" fontId="0" fillId="5" borderId="11" xfId="0" applyFont="1" applyFill="1" applyBorder="1"/>
    <xf numFmtId="0" fontId="0" fillId="0" borderId="11" xfId="0" applyFont="1" applyBorder="1"/>
    <xf numFmtId="0" fontId="16" fillId="0" borderId="9" xfId="0" applyFont="1" applyBorder="1"/>
    <xf numFmtId="0" fontId="0" fillId="0" borderId="13" xfId="0" applyFont="1" applyBorder="1"/>
    <xf numFmtId="0" fontId="0" fillId="0" borderId="3" xfId="0" applyFont="1" applyBorder="1"/>
    <xf numFmtId="0" fontId="0" fillId="5" borderId="14" xfId="0" applyFont="1" applyFill="1" applyBorder="1"/>
    <xf numFmtId="0" fontId="0" fillId="0" borderId="14" xfId="0" applyFont="1" applyBorder="1"/>
    <xf numFmtId="0" fontId="0" fillId="0" borderId="15" xfId="0" applyFont="1" applyBorder="1"/>
    <xf numFmtId="0" fontId="0" fillId="5" borderId="6" xfId="0" applyFont="1" applyFill="1" applyBorder="1"/>
    <xf numFmtId="0" fontId="0" fillId="0" borderId="6" xfId="0" applyFont="1" applyBorder="1"/>
    <xf numFmtId="0" fontId="0" fillId="0" borderId="8" xfId="0" applyFont="1" applyBorder="1"/>
    <xf numFmtId="0" fontId="17" fillId="0" borderId="0" xfId="0" applyFont="1"/>
  </cellXfs>
  <cellStyles count="17">
    <cellStyle name="Normal" xfId="0" builtinId="0" customBuiltin="1"/>
    <cellStyle name="Normal 2" xfId="2" xr:uid="{00000000-0005-0000-0000-000002000000}"/>
    <cellStyle name="Normal 2 2 2" xfId="16" xr:uid="{00000000-0005-0000-0000-000003000000}"/>
    <cellStyle name="Normal 3" xfId="3" xr:uid="{00000000-0005-0000-0000-000004000000}"/>
    <cellStyle name="Normal 3 2" xfId="7" xr:uid="{00000000-0005-0000-0000-000005000000}"/>
    <cellStyle name="Normal 3 2 2" xfId="13" xr:uid="{00000000-0005-0000-0000-000006000000}"/>
    <cellStyle name="Normal 3 3" xfId="9" xr:uid="{00000000-0005-0000-0000-000007000000}"/>
    <cellStyle name="Normal 3 3 2" xfId="15" xr:uid="{00000000-0005-0000-0000-000008000000}"/>
    <cellStyle name="Normal 3 4" xfId="10" xr:uid="{00000000-0005-0000-0000-000009000000}"/>
    <cellStyle name="Normal 4" xfId="4" xr:uid="{00000000-0005-0000-0000-00000A000000}"/>
    <cellStyle name="Normal 4 2" xfId="8" xr:uid="{00000000-0005-0000-0000-00000B000000}"/>
    <cellStyle name="Normal 4 2 2" xfId="14" xr:uid="{00000000-0005-0000-0000-00000C000000}"/>
    <cellStyle name="Normal 4 3" xfId="12" xr:uid="{00000000-0005-0000-0000-00000D000000}"/>
    <cellStyle name="Normal 5" xfId="6" xr:uid="{00000000-0005-0000-0000-00000E000000}"/>
    <cellStyle name="Normal 5 2" xfId="11" xr:uid="{00000000-0005-0000-0000-00000F000000}"/>
    <cellStyle name="Note" xfId="1" builtinId="10" customBuiltin="1"/>
    <cellStyle name="TextNormal" xfId="5" xr:uid="{00000000-0005-0000-0000-000011000000}"/>
  </cellStyles>
  <dxfs count="0"/>
  <tableStyles count="0" defaultTableStyle="TableStyleMedium2" defaultPivotStyle="PivotStyleLight16"/>
  <colors>
    <mruColors>
      <color rgb="FFA3710D"/>
      <color rgb="FF0000FF"/>
      <color rgb="FFFFFF99"/>
      <color rgb="FF1F497D"/>
      <color rgb="FFD9D9D9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'FootBall Field'!$S$2</c:f>
          <c:strCache>
            <c:ptCount val="1"/>
            <c:pt idx="0">
              <c:v>Valuation Range and Implied Share Price for Company XYZ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'FootBall Field'!$B$34:$B$50</c:f>
              <c:strCache>
                <c:ptCount val="17"/>
                <c:pt idx="0">
                  <c:v>5.20% - 6.60% WACC, 1.00% - 2.00% Terminal FCF Growth Rate:</c:v>
                </c:pt>
                <c:pt idx="2">
                  <c:v>1-Month Premiums:</c:v>
                </c:pt>
                <c:pt idx="3">
                  <c:v>1-Week Premiums:</c:v>
                </c:pt>
                <c:pt idx="4">
                  <c:v>1-Day Premiums:</c:v>
                </c:pt>
                <c:pt idx="5">
                  <c:v>LTM EV / EBITDA:</c:v>
                </c:pt>
                <c:pt idx="6">
                  <c:v>LTM EV / Revenue:</c:v>
                </c:pt>
                <c:pt idx="8">
                  <c:v>Projected Year 2 Reported P / E:</c:v>
                </c:pt>
                <c:pt idx="9">
                  <c:v>Projected Year 1 Reported P / E:</c:v>
                </c:pt>
                <c:pt idx="10">
                  <c:v>LTM Reported P / E:</c:v>
                </c:pt>
                <c:pt idx="11">
                  <c:v>Projected Year 2 EV / EBITDA:</c:v>
                </c:pt>
                <c:pt idx="12">
                  <c:v>Projected Year 1 EV / EBITDA:</c:v>
                </c:pt>
                <c:pt idx="13">
                  <c:v>LTM EV / EBITDA:</c:v>
                </c:pt>
                <c:pt idx="14">
                  <c:v>Projected Year 2 EV / Revenue:</c:v>
                </c:pt>
                <c:pt idx="15">
                  <c:v>Projected Year 1 EV / Revenue:</c:v>
                </c:pt>
                <c:pt idx="16">
                  <c:v>LTM EV / Revenue:</c:v>
                </c:pt>
              </c:strCache>
            </c:strRef>
          </c:cat>
          <c:val>
            <c:numRef>
              <c:f>'FootBall Field'!$N$34:$N$50</c:f>
              <c:numCache>
                <c:formatCode>General</c:formatCode>
                <c:ptCount val="17"/>
                <c:pt idx="0" formatCode="&quot;$&quot;#,##0.00_);[Red]\(&quot;$&quot;#,##0.00\)">
                  <c:v>92.3</c:v>
                </c:pt>
                <c:pt idx="2">
                  <c:v>102.67</c:v>
                </c:pt>
                <c:pt idx="3">
                  <c:v>90.75</c:v>
                </c:pt>
                <c:pt idx="4">
                  <c:v>85.92</c:v>
                </c:pt>
                <c:pt idx="5">
                  <c:v>37.950000000000003</c:v>
                </c:pt>
                <c:pt idx="6">
                  <c:v>17.18</c:v>
                </c:pt>
                <c:pt idx="8">
                  <c:v>45.02</c:v>
                </c:pt>
                <c:pt idx="9">
                  <c:v>43.81</c:v>
                </c:pt>
                <c:pt idx="10">
                  <c:v>17.93</c:v>
                </c:pt>
                <c:pt idx="11">
                  <c:v>55.78</c:v>
                </c:pt>
                <c:pt idx="12">
                  <c:v>55.09</c:v>
                </c:pt>
                <c:pt idx="13">
                  <c:v>60.22</c:v>
                </c:pt>
                <c:pt idx="14">
                  <c:v>38.94</c:v>
                </c:pt>
                <c:pt idx="15">
                  <c:v>38.11</c:v>
                </c:pt>
                <c:pt idx="16">
                  <c:v>36.82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4-4143-90EC-69C352DA498E}"/>
            </c:ext>
          </c:extLst>
        </c:ser>
        <c:ser>
          <c:idx val="1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'FootBall Field'!$B$34:$B$50</c:f>
              <c:strCache>
                <c:ptCount val="17"/>
                <c:pt idx="0">
                  <c:v>5.20% - 6.60% WACC, 1.00% - 2.00% Terminal FCF Growth Rate:</c:v>
                </c:pt>
                <c:pt idx="2">
                  <c:v>1-Month Premiums:</c:v>
                </c:pt>
                <c:pt idx="3">
                  <c:v>1-Week Premiums:</c:v>
                </c:pt>
                <c:pt idx="4">
                  <c:v>1-Day Premiums:</c:v>
                </c:pt>
                <c:pt idx="5">
                  <c:v>LTM EV / EBITDA:</c:v>
                </c:pt>
                <c:pt idx="6">
                  <c:v>LTM EV / Revenue:</c:v>
                </c:pt>
                <c:pt idx="8">
                  <c:v>Projected Year 2 Reported P / E:</c:v>
                </c:pt>
                <c:pt idx="9">
                  <c:v>Projected Year 1 Reported P / E:</c:v>
                </c:pt>
                <c:pt idx="10">
                  <c:v>LTM Reported P / E:</c:v>
                </c:pt>
                <c:pt idx="11">
                  <c:v>Projected Year 2 EV / EBITDA:</c:v>
                </c:pt>
                <c:pt idx="12">
                  <c:v>Projected Year 1 EV / EBITDA:</c:v>
                </c:pt>
                <c:pt idx="13">
                  <c:v>LTM EV / EBITDA:</c:v>
                </c:pt>
                <c:pt idx="14">
                  <c:v>Projected Year 2 EV / Revenue:</c:v>
                </c:pt>
                <c:pt idx="15">
                  <c:v>Projected Year 1 EV / Revenue:</c:v>
                </c:pt>
                <c:pt idx="16">
                  <c:v>LTM EV / Revenue:</c:v>
                </c:pt>
              </c:strCache>
            </c:strRef>
          </c:cat>
          <c:val>
            <c:numRef>
              <c:f>'FootBall Field'!$O$34:$O$50</c:f>
              <c:numCache>
                <c:formatCode>General</c:formatCode>
                <c:ptCount val="17"/>
                <c:pt idx="0" formatCode="&quot;$&quot;#,##0.00_);[Red]\(&quot;$&quot;#,##0.00\)">
                  <c:v>11.260000000000005</c:v>
                </c:pt>
                <c:pt idx="2">
                  <c:v>7.2199999999999989</c:v>
                </c:pt>
                <c:pt idx="3">
                  <c:v>24.129999999999995</c:v>
                </c:pt>
                <c:pt idx="4">
                  <c:v>26.149999999999991</c:v>
                </c:pt>
                <c:pt idx="5">
                  <c:v>11.229999999999997</c:v>
                </c:pt>
                <c:pt idx="6">
                  <c:v>5.2899999999999991</c:v>
                </c:pt>
                <c:pt idx="8">
                  <c:v>8.3299999999999983</c:v>
                </c:pt>
                <c:pt idx="9">
                  <c:v>12.159999999999997</c:v>
                </c:pt>
                <c:pt idx="10">
                  <c:v>7.370000000000001</c:v>
                </c:pt>
                <c:pt idx="11">
                  <c:v>0.51999999999999602</c:v>
                </c:pt>
                <c:pt idx="12">
                  <c:v>0.73999999999999488</c:v>
                </c:pt>
                <c:pt idx="13">
                  <c:v>0.98000000000000398</c:v>
                </c:pt>
                <c:pt idx="14">
                  <c:v>25.620000000000005</c:v>
                </c:pt>
                <c:pt idx="15">
                  <c:v>24.25</c:v>
                </c:pt>
                <c:pt idx="16">
                  <c:v>25.18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84-4143-90EC-69C352DA498E}"/>
            </c:ext>
          </c:extLst>
        </c:ser>
        <c:ser>
          <c:idx val="2"/>
          <c:order val="3"/>
          <c:tx>
            <c:v>25th to Median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'FootBall Field'!$B$34:$B$50</c:f>
              <c:strCache>
                <c:ptCount val="17"/>
                <c:pt idx="0">
                  <c:v>5.20% - 6.60% WACC, 1.00% - 2.00% Terminal FCF Growth Rate:</c:v>
                </c:pt>
                <c:pt idx="2">
                  <c:v>1-Month Premiums:</c:v>
                </c:pt>
                <c:pt idx="3">
                  <c:v>1-Week Premiums:</c:v>
                </c:pt>
                <c:pt idx="4">
                  <c:v>1-Day Premiums:</c:v>
                </c:pt>
                <c:pt idx="5">
                  <c:v>LTM EV / EBITDA:</c:v>
                </c:pt>
                <c:pt idx="6">
                  <c:v>LTM EV / Revenue:</c:v>
                </c:pt>
                <c:pt idx="8">
                  <c:v>Projected Year 2 Reported P / E:</c:v>
                </c:pt>
                <c:pt idx="9">
                  <c:v>Projected Year 1 Reported P / E:</c:v>
                </c:pt>
                <c:pt idx="10">
                  <c:v>LTM Reported P / E:</c:v>
                </c:pt>
                <c:pt idx="11">
                  <c:v>Projected Year 2 EV / EBITDA:</c:v>
                </c:pt>
                <c:pt idx="12">
                  <c:v>Projected Year 1 EV / EBITDA:</c:v>
                </c:pt>
                <c:pt idx="13">
                  <c:v>LTM EV / EBITDA:</c:v>
                </c:pt>
                <c:pt idx="14">
                  <c:v>Projected Year 2 EV / Revenue:</c:v>
                </c:pt>
                <c:pt idx="15">
                  <c:v>Projected Year 1 EV / Revenue:</c:v>
                </c:pt>
                <c:pt idx="16">
                  <c:v>LTM EV / Revenue:</c:v>
                </c:pt>
              </c:strCache>
            </c:strRef>
          </c:cat>
          <c:val>
            <c:numRef>
              <c:f>'FootBall Field'!$P$34:$P$50</c:f>
              <c:numCache>
                <c:formatCode>General</c:formatCode>
                <c:ptCount val="17"/>
                <c:pt idx="0" formatCode="&quot;$&quot;#,##0.00_);[Red]\(&quot;$&quot;#,##0.00\)">
                  <c:v>12.259999999999991</c:v>
                </c:pt>
                <c:pt idx="2">
                  <c:v>3.3599999999999994</c:v>
                </c:pt>
                <c:pt idx="3">
                  <c:v>7.4100000000000108</c:v>
                </c:pt>
                <c:pt idx="4">
                  <c:v>9.7700000000000102</c:v>
                </c:pt>
                <c:pt idx="5">
                  <c:v>14.490000000000002</c:v>
                </c:pt>
                <c:pt idx="6">
                  <c:v>16.160000000000004</c:v>
                </c:pt>
                <c:pt idx="8">
                  <c:v>5.82</c:v>
                </c:pt>
                <c:pt idx="9">
                  <c:v>4.1200000000000045</c:v>
                </c:pt>
                <c:pt idx="10">
                  <c:v>7.2799999999999976</c:v>
                </c:pt>
                <c:pt idx="11">
                  <c:v>8.3200000000000074</c:v>
                </c:pt>
                <c:pt idx="12">
                  <c:v>6.1200000000000045</c:v>
                </c:pt>
                <c:pt idx="13">
                  <c:v>3.769999999999996</c:v>
                </c:pt>
                <c:pt idx="14">
                  <c:v>3.1700000000000017</c:v>
                </c:pt>
                <c:pt idx="15">
                  <c:v>4.0700000000000074</c:v>
                </c:pt>
                <c:pt idx="16">
                  <c:v>6.4500000000000028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84-4143-90EC-69C352DA498E}"/>
            </c:ext>
          </c:extLst>
        </c:ser>
        <c:ser>
          <c:idx val="3"/>
          <c:order val="4"/>
          <c:tx>
            <c:v>Median to 75th</c:v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'FootBall Field'!$B$34:$B$50</c:f>
              <c:strCache>
                <c:ptCount val="17"/>
                <c:pt idx="0">
                  <c:v>5.20% - 6.60% WACC, 1.00% - 2.00% Terminal FCF Growth Rate:</c:v>
                </c:pt>
                <c:pt idx="2">
                  <c:v>1-Month Premiums:</c:v>
                </c:pt>
                <c:pt idx="3">
                  <c:v>1-Week Premiums:</c:v>
                </c:pt>
                <c:pt idx="4">
                  <c:v>1-Day Premiums:</c:v>
                </c:pt>
                <c:pt idx="5">
                  <c:v>LTM EV / EBITDA:</c:v>
                </c:pt>
                <c:pt idx="6">
                  <c:v>LTM EV / Revenue:</c:v>
                </c:pt>
                <c:pt idx="8">
                  <c:v>Projected Year 2 Reported P / E:</c:v>
                </c:pt>
                <c:pt idx="9">
                  <c:v>Projected Year 1 Reported P / E:</c:v>
                </c:pt>
                <c:pt idx="10">
                  <c:v>LTM Reported P / E:</c:v>
                </c:pt>
                <c:pt idx="11">
                  <c:v>Projected Year 2 EV / EBITDA:</c:v>
                </c:pt>
                <c:pt idx="12">
                  <c:v>Projected Year 1 EV / EBITDA:</c:v>
                </c:pt>
                <c:pt idx="13">
                  <c:v>LTM EV / EBITDA:</c:v>
                </c:pt>
                <c:pt idx="14">
                  <c:v>Projected Year 2 EV / Revenue:</c:v>
                </c:pt>
                <c:pt idx="15">
                  <c:v>Projected Year 1 EV / Revenue:</c:v>
                </c:pt>
                <c:pt idx="16">
                  <c:v>LTM EV / Revenue:</c:v>
                </c:pt>
              </c:strCache>
            </c:strRef>
          </c:cat>
          <c:val>
            <c:numRef>
              <c:f>'FootBall Field'!$Q$34:$Q$50</c:f>
              <c:numCache>
                <c:formatCode>General</c:formatCode>
                <c:ptCount val="17"/>
                <c:pt idx="0" formatCode="&quot;$&quot;#,##0.00_);[Red]\(&quot;$&quot;#,##0.00\)">
                  <c:v>14.319999999999993</c:v>
                </c:pt>
                <c:pt idx="2">
                  <c:v>3.6700000000000017</c:v>
                </c:pt>
                <c:pt idx="3">
                  <c:v>3.6699999999999875</c:v>
                </c:pt>
                <c:pt idx="4">
                  <c:v>8.7800000000000011</c:v>
                </c:pt>
                <c:pt idx="5">
                  <c:v>31.189999999999998</c:v>
                </c:pt>
                <c:pt idx="6">
                  <c:v>80.78</c:v>
                </c:pt>
                <c:pt idx="8">
                  <c:v>1.1700000000000017</c:v>
                </c:pt>
                <c:pt idx="9">
                  <c:v>0.52999999999999403</c:v>
                </c:pt>
                <c:pt idx="10">
                  <c:v>0</c:v>
                </c:pt>
                <c:pt idx="11">
                  <c:v>0.12999999999999545</c:v>
                </c:pt>
                <c:pt idx="12">
                  <c:v>2.2099999999999937</c:v>
                </c:pt>
                <c:pt idx="13">
                  <c:v>0.28000000000000114</c:v>
                </c:pt>
                <c:pt idx="14">
                  <c:v>34.450000000000003</c:v>
                </c:pt>
                <c:pt idx="15">
                  <c:v>34.599999999999994</c:v>
                </c:pt>
                <c:pt idx="16">
                  <c:v>33.86999999999999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84-4143-90EC-69C352DA498E}"/>
            </c:ext>
          </c:extLst>
        </c:ser>
        <c:ser>
          <c:idx val="4"/>
          <c:order val="5"/>
          <c:spPr>
            <a:noFill/>
            <a:ln>
              <a:noFill/>
            </a:ln>
            <a:effectLst/>
          </c:spPr>
          <c:invertIfNegative val="0"/>
          <c:cat>
            <c:strRef>
              <c:f>'FootBall Field'!$B$34:$B$50</c:f>
              <c:strCache>
                <c:ptCount val="17"/>
                <c:pt idx="0">
                  <c:v>5.20% - 6.60% WACC, 1.00% - 2.00% Terminal FCF Growth Rate:</c:v>
                </c:pt>
                <c:pt idx="2">
                  <c:v>1-Month Premiums:</c:v>
                </c:pt>
                <c:pt idx="3">
                  <c:v>1-Week Premiums:</c:v>
                </c:pt>
                <c:pt idx="4">
                  <c:v>1-Day Premiums:</c:v>
                </c:pt>
                <c:pt idx="5">
                  <c:v>LTM EV / EBITDA:</c:v>
                </c:pt>
                <c:pt idx="6">
                  <c:v>LTM EV / Revenue:</c:v>
                </c:pt>
                <c:pt idx="8">
                  <c:v>Projected Year 2 Reported P / E:</c:v>
                </c:pt>
                <c:pt idx="9">
                  <c:v>Projected Year 1 Reported P / E:</c:v>
                </c:pt>
                <c:pt idx="10">
                  <c:v>LTM Reported P / E:</c:v>
                </c:pt>
                <c:pt idx="11">
                  <c:v>Projected Year 2 EV / EBITDA:</c:v>
                </c:pt>
                <c:pt idx="12">
                  <c:v>Projected Year 1 EV / EBITDA:</c:v>
                </c:pt>
                <c:pt idx="13">
                  <c:v>LTM EV / EBITDA:</c:v>
                </c:pt>
                <c:pt idx="14">
                  <c:v>Projected Year 2 EV / Revenue:</c:v>
                </c:pt>
                <c:pt idx="15">
                  <c:v>Projected Year 1 EV / Revenue:</c:v>
                </c:pt>
                <c:pt idx="16">
                  <c:v>LTM EV / Revenue:</c:v>
                </c:pt>
              </c:strCache>
            </c:strRef>
          </c:cat>
          <c:val>
            <c:numRef>
              <c:f>'FootBall Field'!$R$34:$R$50</c:f>
              <c:numCache>
                <c:formatCode>General</c:formatCode>
                <c:ptCount val="17"/>
                <c:pt idx="0" formatCode="&quot;$&quot;#,##0.00_);[Red]\(&quot;$&quot;#,##0.00\)">
                  <c:v>22.340000000000003</c:v>
                </c:pt>
                <c:pt idx="2">
                  <c:v>36.269999999999996</c:v>
                </c:pt>
                <c:pt idx="3">
                  <c:v>31.470000000000013</c:v>
                </c:pt>
                <c:pt idx="4">
                  <c:v>44.819999999999993</c:v>
                </c:pt>
                <c:pt idx="5">
                  <c:v>21.08</c:v>
                </c:pt>
                <c:pt idx="6">
                  <c:v>26.25</c:v>
                </c:pt>
                <c:pt idx="8">
                  <c:v>75.829999999999984</c:v>
                </c:pt>
                <c:pt idx="9">
                  <c:v>81.199999999999989</c:v>
                </c:pt>
                <c:pt idx="10">
                  <c:v>53.210000000000008</c:v>
                </c:pt>
                <c:pt idx="11">
                  <c:v>103.13999999999999</c:v>
                </c:pt>
                <c:pt idx="12">
                  <c:v>108.4</c:v>
                </c:pt>
                <c:pt idx="13">
                  <c:v>129.09</c:v>
                </c:pt>
                <c:pt idx="14">
                  <c:v>10.959999999999994</c:v>
                </c:pt>
                <c:pt idx="15">
                  <c:v>16.289999999999992</c:v>
                </c:pt>
                <c:pt idx="16">
                  <c:v>26.090000000000003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84-4143-90EC-69C352DA4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0569968"/>
        <c:axId val="1540571632"/>
      </c:barChart>
      <c:scatterChart>
        <c:scatterStyle val="smoothMarker"/>
        <c:varyColors val="0"/>
        <c:ser>
          <c:idx val="5"/>
          <c:order val="0"/>
          <c:tx>
            <c:strRef>
              <c:f>'FootBall Field'!$B$30</c:f>
              <c:strCache>
                <c:ptCount val="1"/>
                <c:pt idx="0">
                  <c:v>Current Share Price: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'FootBall Field'!$I$52:$M$52</c:f>
              <c:numCache>
                <c:formatCode>_(* #,##0.00_);_(* \(#,##0.00\);_(* "-"??_);_(@_)</c:formatCode>
                <c:ptCount val="5"/>
                <c:pt idx="0">
                  <c:v>96.54</c:v>
                </c:pt>
                <c:pt idx="1">
                  <c:v>96.54</c:v>
                </c:pt>
                <c:pt idx="2">
                  <c:v>96.54</c:v>
                </c:pt>
                <c:pt idx="3">
                  <c:v>96.54</c:v>
                </c:pt>
                <c:pt idx="4">
                  <c:v>96.54</c:v>
                </c:pt>
              </c:numCache>
            </c:numRef>
          </c:xVal>
          <c:yVal>
            <c:numRef>
              <c:f>'FootBall Field'!$N$52:$R$52</c:f>
              <c:numCache>
                <c:formatCode>_(* #,##0.00_);_(* \(#,##0.00\);_(* "-"??_);_(@_)</c:formatCode>
                <c:ptCount val="5"/>
                <c:pt idx="0">
                  <c:v>1000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98-477B-B161-6B695F050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568175"/>
        <c:axId val="1664567343"/>
      </c:scatterChart>
      <c:catAx>
        <c:axId val="15405699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571632"/>
        <c:crosses val="autoZero"/>
        <c:auto val="1"/>
        <c:lblAlgn val="ctr"/>
        <c:lblOffset val="100"/>
        <c:noMultiLvlLbl val="0"/>
      </c:catAx>
      <c:valAx>
        <c:axId val="15405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569968"/>
        <c:crosses val="autoZero"/>
        <c:crossBetween val="between"/>
      </c:valAx>
      <c:valAx>
        <c:axId val="1664567343"/>
        <c:scaling>
          <c:orientation val="minMax"/>
          <c:max val="1000"/>
          <c:min val="0"/>
        </c:scaling>
        <c:delete val="1"/>
        <c:axPos val="r"/>
        <c:numFmt formatCode="_(* #,##0.00_);_(* \(#,##0.00\);_(* &quot;-&quot;??_);_(@_)" sourceLinked="1"/>
        <c:majorTickMark val="out"/>
        <c:minorTickMark val="none"/>
        <c:tickLblPos val="nextTo"/>
        <c:crossAx val="1664568175"/>
        <c:crosses val="max"/>
        <c:crossBetween val="midCat"/>
      </c:valAx>
      <c:valAx>
        <c:axId val="1664568175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16645673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384664</xdr:colOff>
      <xdr:row>1</xdr:row>
      <xdr:rowOff>183173</xdr:rowOff>
    </xdr:from>
    <xdr:to>
      <xdr:col>14</xdr:col>
      <xdr:colOff>234463</xdr:colOff>
      <xdr:row>24</xdr:row>
      <xdr:rowOff>153866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1CF501-B79E-4D6C-95D9-44F7055C8E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0.1955</cdr:x>
      <cdr:y>0.05161</cdr:y>
    </cdr:from>
    <cdr:to>
      <cdr:x>0.32383</cdr:x>
      <cdr:y>0.10645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7FD7FB9-6939-48B1-8B85-14BE5F3C24E0}"/>
            </a:ext>
          </a:extLst>
        </cdr:cNvPr>
        <cdr:cNvSpPr txBox="1"/>
      </cdr:nvSpPr>
      <cdr:spPr>
        <a:xfrm xmlns:a="http://schemas.openxmlformats.org/drawingml/2006/main">
          <a:off x="1908663" y="234461"/>
          <a:ext cx="1252904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rgbClr val="A3710D"/>
              </a:solidFill>
            </a:rPr>
            <a:t>Comparables :</a:t>
          </a:r>
        </a:p>
      </cdr:txBody>
    </cdr:sp>
  </cdr:relSizeAnchor>
  <cdr:relSizeAnchor xmlns:cdr="http://schemas.openxmlformats.org/drawingml/2006/chartDrawing">
    <cdr:from>
      <cdr:x>0.14296</cdr:x>
      <cdr:y>0.54194</cdr:y>
    </cdr:from>
    <cdr:to>
      <cdr:x>0.30507</cdr:x>
      <cdr:y>0.58871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CA5C344D-F8B4-4806-906E-C8C0DF7A0F04}"/>
            </a:ext>
          </a:extLst>
        </cdr:cNvPr>
        <cdr:cNvSpPr txBox="1"/>
      </cdr:nvSpPr>
      <cdr:spPr>
        <a:xfrm xmlns:a="http://schemas.openxmlformats.org/drawingml/2006/main">
          <a:off x="1395778" y="2461846"/>
          <a:ext cx="1582616" cy="2124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0.206</cdr:x>
      <cdr:y>0.53226</cdr:y>
    </cdr:from>
    <cdr:to>
      <cdr:x>0.33358</cdr:x>
      <cdr:y>0.59032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F7173DCD-48A9-4861-981F-952CF60D776D}"/>
            </a:ext>
          </a:extLst>
        </cdr:cNvPr>
        <cdr:cNvSpPr txBox="1"/>
      </cdr:nvSpPr>
      <cdr:spPr>
        <a:xfrm xmlns:a="http://schemas.openxmlformats.org/drawingml/2006/main">
          <a:off x="2011238" y="2417884"/>
          <a:ext cx="1245577" cy="2637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rgbClr val="A3710D"/>
              </a:solidFill>
            </a:rPr>
            <a:t>Precedents</a:t>
          </a:r>
          <a:r>
            <a:rPr lang="en-US" sz="1200" b="1">
              <a:solidFill>
                <a:srgbClr val="A3710D"/>
              </a:solidFill>
            </a:rPr>
            <a:t>:</a:t>
          </a:r>
        </a:p>
      </cdr:txBody>
    </cdr:sp>
  </cdr:relSizeAnchor>
  <cdr:relSizeAnchor xmlns:cdr="http://schemas.openxmlformats.org/drawingml/2006/chartDrawing">
    <cdr:from>
      <cdr:x>0.19024</cdr:x>
      <cdr:y>0.82581</cdr:y>
    </cdr:from>
    <cdr:to>
      <cdr:x>0.32017</cdr:x>
      <cdr:y>0.88871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F782D5B4-86DA-4715-904F-94754742FF3D}"/>
            </a:ext>
          </a:extLst>
        </cdr:cNvPr>
        <cdr:cNvSpPr txBox="1"/>
      </cdr:nvSpPr>
      <cdr:spPr>
        <a:xfrm xmlns:a="http://schemas.openxmlformats.org/drawingml/2006/main">
          <a:off x="1843337" y="3765081"/>
          <a:ext cx="1258977" cy="2867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rgbClr val="A3710D"/>
              </a:solidFill>
            </a:rPr>
            <a:t>DCF Analysis: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929FF-BA49-4331-B0F2-4E089B289E6E}">
  <sheetPr>
    <pageSetUpPr autoPageBreaks="0"/>
  </sheetPr>
  <dimension ref="B2:T52"/>
  <sheetViews>
    <sheetView tabSelected="1" zoomScale="115" zoomScaleNormal="115" workbookViewId="0">
      <selection activeCell="F28" sqref="F28"/>
    </sheetView>
  </sheetViews>
  <sheetFormatPr defaultColWidth="8.85546875" defaultRowHeight="15.75" x14ac:dyDescent="0.25"/>
  <cols>
    <col min="1" max="1" width="2.7109375" style="1" customWidth="1"/>
    <col min="2" max="5" width="10.7109375" style="1" customWidth="1"/>
    <col min="6" max="6" width="18.42578125" style="1" customWidth="1"/>
    <col min="7" max="13" width="10.7109375" style="1" customWidth="1"/>
    <col min="14" max="14" width="11.7109375" style="1" customWidth="1"/>
    <col min="15" max="15" width="12.28515625" style="1" customWidth="1"/>
    <col min="16" max="16" width="15.140625" style="1" customWidth="1"/>
    <col min="17" max="17" width="12.28515625" style="1" customWidth="1"/>
    <col min="18" max="18" width="12.140625" style="1" customWidth="1"/>
    <col min="19" max="23" width="10.7109375" style="1" customWidth="1"/>
    <col min="24" max="24" width="11.5703125" style="1" customWidth="1"/>
    <col min="25" max="16384" width="8.85546875" style="1"/>
  </cols>
  <sheetData>
    <row r="2" spans="16:20" x14ac:dyDescent="0.25">
      <c r="S2" s="5" t="s">
        <v>26</v>
      </c>
    </row>
    <row r="3" spans="16:20" ht="17.25" x14ac:dyDescent="0.3">
      <c r="P3" s="62"/>
    </row>
    <row r="5" spans="16:20" x14ac:dyDescent="0.25">
      <c r="T5" s="5"/>
    </row>
    <row r="6" spans="16:20" x14ac:dyDescent="0.25">
      <c r="T6" s="6"/>
    </row>
    <row r="26" spans="2:18" ht="16.5" thickBot="1" x14ac:dyDescent="0.3"/>
    <row r="27" spans="2:18" ht="16.5" thickBot="1" x14ac:dyDescent="0.3">
      <c r="B27" s="37" t="str">
        <f>Company_Name&amp;" Valuation - Range of Implied Share Prices"</f>
        <v xml:space="preserve"> Valuation - Range of Implied Share Prices</v>
      </c>
      <c r="C27" s="41"/>
      <c r="D27" s="41"/>
      <c r="E27" s="38"/>
    </row>
    <row r="28" spans="2:18" ht="16.5" thickBot="1" x14ac:dyDescent="0.3"/>
    <row r="29" spans="2:18" x14ac:dyDescent="0.25">
      <c r="B29" s="11" t="s">
        <v>22</v>
      </c>
      <c r="C29" s="13"/>
      <c r="F29" s="39" t="s">
        <v>25</v>
      </c>
    </row>
    <row r="30" spans="2:18" ht="16.5" thickBot="1" x14ac:dyDescent="0.3">
      <c r="B30" s="17" t="s">
        <v>23</v>
      </c>
      <c r="C30" s="19"/>
      <c r="F30" s="40">
        <v>96.54</v>
      </c>
    </row>
    <row r="31" spans="2:18" ht="16.5" thickBot="1" x14ac:dyDescent="0.3"/>
    <row r="32" spans="2:18" x14ac:dyDescent="0.25">
      <c r="I32" s="29" t="s">
        <v>3</v>
      </c>
      <c r="J32" s="30" t="s">
        <v>1</v>
      </c>
      <c r="K32" s="30" t="s">
        <v>0</v>
      </c>
      <c r="L32" s="30" t="s">
        <v>2</v>
      </c>
      <c r="M32" s="30" t="s">
        <v>4</v>
      </c>
      <c r="N32" s="31" t="s">
        <v>5</v>
      </c>
      <c r="O32" s="31" t="s">
        <v>6</v>
      </c>
      <c r="P32" s="31" t="s">
        <v>7</v>
      </c>
      <c r="Q32" s="31" t="s">
        <v>8</v>
      </c>
      <c r="R32" s="32" t="s">
        <v>9</v>
      </c>
    </row>
    <row r="33" spans="2:18" x14ac:dyDescent="0.25">
      <c r="I33" s="33"/>
      <c r="J33" s="8"/>
      <c r="K33" s="8"/>
      <c r="L33" s="8"/>
      <c r="M33" s="8"/>
      <c r="N33" s="8"/>
      <c r="O33" s="8"/>
      <c r="P33" s="8"/>
      <c r="Q33" s="8"/>
      <c r="R33" s="34"/>
    </row>
    <row r="34" spans="2:18" ht="16.5" thickBot="1" x14ac:dyDescent="0.3">
      <c r="B34" s="7" t="s">
        <v>24</v>
      </c>
      <c r="C34" s="7"/>
      <c r="D34" s="7"/>
      <c r="E34" s="7"/>
      <c r="F34" s="7"/>
      <c r="I34" s="35">
        <v>92.3</v>
      </c>
      <c r="J34" s="36">
        <v>103.56</v>
      </c>
      <c r="K34" s="36">
        <v>115.82</v>
      </c>
      <c r="L34" s="36">
        <v>130.13999999999999</v>
      </c>
      <c r="M34" s="36">
        <v>152.47999999999999</v>
      </c>
      <c r="N34" s="42">
        <f>I34</f>
        <v>92.3</v>
      </c>
      <c r="O34" s="42">
        <f>J34-I34</f>
        <v>11.260000000000005</v>
      </c>
      <c r="P34" s="42">
        <f t="shared" ref="P34:R34" si="0">K34-J34</f>
        <v>12.259999999999991</v>
      </c>
      <c r="Q34" s="42">
        <f t="shared" si="0"/>
        <v>14.319999999999993</v>
      </c>
      <c r="R34" s="42">
        <f t="shared" si="0"/>
        <v>22.340000000000003</v>
      </c>
    </row>
    <row r="35" spans="2:18" ht="16.5" thickBot="1" x14ac:dyDescent="0.3">
      <c r="B35" s="4"/>
    </row>
    <row r="36" spans="2:18" x14ac:dyDescent="0.25">
      <c r="B36" s="11" t="s">
        <v>12</v>
      </c>
      <c r="C36" s="13"/>
      <c r="D36" s="20"/>
      <c r="E36" s="20"/>
      <c r="F36" s="20"/>
      <c r="G36" s="20"/>
      <c r="H36" s="20"/>
      <c r="I36" s="25">
        <v>102.67</v>
      </c>
      <c r="J36" s="21">
        <v>109.89</v>
      </c>
      <c r="K36" s="21">
        <v>113.25</v>
      </c>
      <c r="L36" s="21">
        <v>116.92</v>
      </c>
      <c r="M36" s="21">
        <v>153.19</v>
      </c>
      <c r="N36" s="55">
        <f t="shared" ref="N36:N50" si="1">I36</f>
        <v>102.67</v>
      </c>
      <c r="O36" s="46">
        <f t="shared" ref="O36:O50" si="2">J36-I36</f>
        <v>7.2199999999999989</v>
      </c>
      <c r="P36" s="46">
        <f t="shared" ref="P36:P50" si="3">K36-J36</f>
        <v>3.3599999999999994</v>
      </c>
      <c r="Q36" s="46">
        <f t="shared" ref="Q36:Q50" si="4">L36-K36</f>
        <v>3.6700000000000017</v>
      </c>
      <c r="R36" s="50">
        <f t="shared" ref="R36:R50" si="5">M36-L36</f>
        <v>36.269999999999996</v>
      </c>
    </row>
    <row r="37" spans="2:18" x14ac:dyDescent="0.25">
      <c r="B37" s="14" t="s">
        <v>11</v>
      </c>
      <c r="C37" s="16"/>
      <c r="D37" s="22"/>
      <c r="E37" s="22"/>
      <c r="F37" s="22"/>
      <c r="G37" s="22"/>
      <c r="H37" s="22"/>
      <c r="I37" s="26">
        <v>90.75</v>
      </c>
      <c r="J37" s="10">
        <v>114.88</v>
      </c>
      <c r="K37" s="10">
        <v>122.29</v>
      </c>
      <c r="L37" s="10">
        <v>125.96</v>
      </c>
      <c r="M37" s="45">
        <v>157.43</v>
      </c>
      <c r="N37" s="59">
        <f t="shared" si="1"/>
        <v>90.75</v>
      </c>
      <c r="O37" s="47">
        <f t="shared" si="2"/>
        <v>24.129999999999995</v>
      </c>
      <c r="P37" s="47">
        <f t="shared" si="3"/>
        <v>7.4100000000000108</v>
      </c>
      <c r="Q37" s="47">
        <f t="shared" si="4"/>
        <v>3.6699999999999875</v>
      </c>
      <c r="R37" s="51">
        <f t="shared" si="5"/>
        <v>31.470000000000013</v>
      </c>
    </row>
    <row r="38" spans="2:18" x14ac:dyDescent="0.25">
      <c r="B38" s="14" t="s">
        <v>10</v>
      </c>
      <c r="C38" s="16"/>
      <c r="D38" s="22"/>
      <c r="E38" s="22"/>
      <c r="F38" s="22"/>
      <c r="G38" s="22"/>
      <c r="H38" s="22"/>
      <c r="I38" s="27">
        <v>85.92</v>
      </c>
      <c r="J38" s="9">
        <v>112.07</v>
      </c>
      <c r="K38" s="9">
        <v>121.84</v>
      </c>
      <c r="L38" s="9">
        <v>130.62</v>
      </c>
      <c r="M38" s="44">
        <v>175.44</v>
      </c>
      <c r="N38" s="60">
        <f t="shared" si="1"/>
        <v>85.92</v>
      </c>
      <c r="O38" s="48">
        <f t="shared" si="2"/>
        <v>26.149999999999991</v>
      </c>
      <c r="P38" s="48">
        <f t="shared" si="3"/>
        <v>9.7700000000000102</v>
      </c>
      <c r="Q38" s="48">
        <f t="shared" si="4"/>
        <v>8.7800000000000011</v>
      </c>
      <c r="R38" s="52">
        <f t="shared" si="5"/>
        <v>44.819999999999993</v>
      </c>
    </row>
    <row r="39" spans="2:18" x14ac:dyDescent="0.25">
      <c r="B39" s="14" t="s">
        <v>13</v>
      </c>
      <c r="C39" s="16"/>
      <c r="D39" s="22"/>
      <c r="E39" s="22"/>
      <c r="F39" s="22"/>
      <c r="G39" s="22"/>
      <c r="H39" s="22"/>
      <c r="I39" s="26">
        <v>37.950000000000003</v>
      </c>
      <c r="J39" s="10">
        <v>49.18</v>
      </c>
      <c r="K39" s="10">
        <v>63.67</v>
      </c>
      <c r="L39" s="10">
        <v>94.86</v>
      </c>
      <c r="M39" s="45">
        <v>115.94</v>
      </c>
      <c r="N39" s="59">
        <f t="shared" si="1"/>
        <v>37.950000000000003</v>
      </c>
      <c r="O39" s="47">
        <f t="shared" si="2"/>
        <v>11.229999999999997</v>
      </c>
      <c r="P39" s="47">
        <f t="shared" si="3"/>
        <v>14.490000000000002</v>
      </c>
      <c r="Q39" s="47">
        <f t="shared" si="4"/>
        <v>31.189999999999998</v>
      </c>
      <c r="R39" s="51">
        <f t="shared" si="5"/>
        <v>21.08</v>
      </c>
    </row>
    <row r="40" spans="2:18" ht="16.5" thickBot="1" x14ac:dyDescent="0.3">
      <c r="B40" s="17" t="s">
        <v>14</v>
      </c>
      <c r="C40" s="19"/>
      <c r="D40" s="23"/>
      <c r="E40" s="23"/>
      <c r="F40" s="23"/>
      <c r="G40" s="23"/>
      <c r="H40" s="23"/>
      <c r="I40" s="28">
        <v>17.18</v>
      </c>
      <c r="J40" s="24">
        <v>22.47</v>
      </c>
      <c r="K40" s="24">
        <v>38.630000000000003</v>
      </c>
      <c r="L40" s="24">
        <v>119.41</v>
      </c>
      <c r="M40" s="53">
        <v>145.66</v>
      </c>
      <c r="N40" s="61">
        <f t="shared" si="1"/>
        <v>17.18</v>
      </c>
      <c r="O40" s="49">
        <f t="shared" si="2"/>
        <v>5.2899999999999991</v>
      </c>
      <c r="P40" s="49">
        <f t="shared" si="3"/>
        <v>16.160000000000004</v>
      </c>
      <c r="Q40" s="49">
        <f t="shared" si="4"/>
        <v>80.78</v>
      </c>
      <c r="R40" s="54">
        <f t="shared" si="5"/>
        <v>26.25</v>
      </c>
    </row>
    <row r="41" spans="2:18" ht="16.5" thickBot="1" x14ac:dyDescent="0.3">
      <c r="B41" s="4"/>
      <c r="N41" s="43"/>
      <c r="O41" s="43"/>
      <c r="P41" s="43"/>
      <c r="Q41" s="43"/>
      <c r="R41" s="43"/>
    </row>
    <row r="42" spans="2:18" x14ac:dyDescent="0.25">
      <c r="B42" s="11" t="s">
        <v>17</v>
      </c>
      <c r="C42" s="12"/>
      <c r="D42" s="13"/>
      <c r="E42" s="20"/>
      <c r="F42" s="20"/>
      <c r="G42" s="20"/>
      <c r="H42" s="20"/>
      <c r="I42" s="25">
        <v>45.02</v>
      </c>
      <c r="J42" s="21">
        <v>53.35</v>
      </c>
      <c r="K42" s="21">
        <v>59.17</v>
      </c>
      <c r="L42" s="21">
        <v>60.34</v>
      </c>
      <c r="M42" s="21">
        <v>136.16999999999999</v>
      </c>
      <c r="N42" s="55">
        <f t="shared" si="1"/>
        <v>45.02</v>
      </c>
      <c r="O42" s="46">
        <f t="shared" si="2"/>
        <v>8.3299999999999983</v>
      </c>
      <c r="P42" s="46">
        <f t="shared" si="3"/>
        <v>5.82</v>
      </c>
      <c r="Q42" s="46">
        <f t="shared" si="4"/>
        <v>1.1700000000000017</v>
      </c>
      <c r="R42" s="46">
        <f t="shared" si="5"/>
        <v>75.829999999999984</v>
      </c>
    </row>
    <row r="43" spans="2:18" x14ac:dyDescent="0.25">
      <c r="B43" s="14" t="s">
        <v>16</v>
      </c>
      <c r="C43" s="15"/>
      <c r="D43" s="16"/>
      <c r="E43" s="22"/>
      <c r="F43" s="22"/>
      <c r="G43" s="22"/>
      <c r="H43" s="22"/>
      <c r="I43" s="26">
        <v>43.81</v>
      </c>
      <c r="J43" s="10">
        <v>55.97</v>
      </c>
      <c r="K43" s="10">
        <v>60.09</v>
      </c>
      <c r="L43" s="10">
        <v>60.62</v>
      </c>
      <c r="M43" s="10">
        <v>141.82</v>
      </c>
      <c r="N43" s="56">
        <f t="shared" si="1"/>
        <v>43.81</v>
      </c>
      <c r="O43" s="47">
        <f t="shared" si="2"/>
        <v>12.159999999999997</v>
      </c>
      <c r="P43" s="47">
        <f t="shared" si="3"/>
        <v>4.1200000000000045</v>
      </c>
      <c r="Q43" s="47">
        <f t="shared" si="4"/>
        <v>0.52999999999999403</v>
      </c>
      <c r="R43" s="47">
        <f t="shared" si="5"/>
        <v>81.199999999999989</v>
      </c>
    </row>
    <row r="44" spans="2:18" x14ac:dyDescent="0.25">
      <c r="B44" s="14" t="s">
        <v>15</v>
      </c>
      <c r="C44" s="15"/>
      <c r="D44" s="16"/>
      <c r="E44" s="22"/>
      <c r="F44" s="22"/>
      <c r="G44" s="22"/>
      <c r="H44" s="22"/>
      <c r="I44" s="27">
        <v>17.93</v>
      </c>
      <c r="J44" s="9">
        <v>25.3</v>
      </c>
      <c r="K44" s="9">
        <v>32.58</v>
      </c>
      <c r="L44" s="9">
        <v>32.58</v>
      </c>
      <c r="M44" s="9">
        <v>85.79</v>
      </c>
      <c r="N44" s="57">
        <f t="shared" si="1"/>
        <v>17.93</v>
      </c>
      <c r="O44" s="48">
        <f t="shared" si="2"/>
        <v>7.370000000000001</v>
      </c>
      <c r="P44" s="48">
        <f t="shared" si="3"/>
        <v>7.2799999999999976</v>
      </c>
      <c r="Q44" s="48">
        <f t="shared" si="4"/>
        <v>0</v>
      </c>
      <c r="R44" s="48">
        <f t="shared" si="5"/>
        <v>53.210000000000008</v>
      </c>
    </row>
    <row r="45" spans="2:18" x14ac:dyDescent="0.25">
      <c r="B45" s="14" t="s">
        <v>18</v>
      </c>
      <c r="C45" s="15"/>
      <c r="D45" s="16"/>
      <c r="E45" s="22"/>
      <c r="F45" s="22"/>
      <c r="G45" s="22"/>
      <c r="H45" s="22"/>
      <c r="I45" s="26">
        <v>55.78</v>
      </c>
      <c r="J45" s="10">
        <v>56.3</v>
      </c>
      <c r="K45" s="10">
        <v>64.62</v>
      </c>
      <c r="L45" s="10">
        <v>64.75</v>
      </c>
      <c r="M45" s="10">
        <v>167.89</v>
      </c>
      <c r="N45" s="56">
        <f t="shared" si="1"/>
        <v>55.78</v>
      </c>
      <c r="O45" s="47">
        <f t="shared" si="2"/>
        <v>0.51999999999999602</v>
      </c>
      <c r="P45" s="47">
        <f t="shared" si="3"/>
        <v>8.3200000000000074</v>
      </c>
      <c r="Q45" s="47">
        <f t="shared" si="4"/>
        <v>0.12999999999999545</v>
      </c>
      <c r="R45" s="47">
        <f t="shared" si="5"/>
        <v>103.13999999999999</v>
      </c>
    </row>
    <row r="46" spans="2:18" x14ac:dyDescent="0.25">
      <c r="B46" s="14" t="s">
        <v>19</v>
      </c>
      <c r="C46" s="15"/>
      <c r="D46" s="16"/>
      <c r="E46" s="22"/>
      <c r="F46" s="22"/>
      <c r="G46" s="22"/>
      <c r="H46" s="22"/>
      <c r="I46" s="27">
        <v>55.09</v>
      </c>
      <c r="J46" s="9">
        <v>55.83</v>
      </c>
      <c r="K46" s="9">
        <v>61.95</v>
      </c>
      <c r="L46" s="9">
        <v>64.16</v>
      </c>
      <c r="M46" s="9">
        <v>172.56</v>
      </c>
      <c r="N46" s="57">
        <f t="shared" si="1"/>
        <v>55.09</v>
      </c>
      <c r="O46" s="48">
        <f t="shared" si="2"/>
        <v>0.73999999999999488</v>
      </c>
      <c r="P46" s="48">
        <f t="shared" si="3"/>
        <v>6.1200000000000045</v>
      </c>
      <c r="Q46" s="48">
        <f t="shared" si="4"/>
        <v>2.2099999999999937</v>
      </c>
      <c r="R46" s="48">
        <f t="shared" si="5"/>
        <v>108.4</v>
      </c>
    </row>
    <row r="47" spans="2:18" x14ac:dyDescent="0.25">
      <c r="B47" s="14" t="s">
        <v>13</v>
      </c>
      <c r="C47" s="15"/>
      <c r="D47" s="16"/>
      <c r="E47" s="22"/>
      <c r="F47" s="22"/>
      <c r="G47" s="22"/>
      <c r="H47" s="22"/>
      <c r="I47" s="26">
        <v>60.22</v>
      </c>
      <c r="J47" s="10">
        <v>61.2</v>
      </c>
      <c r="K47" s="10">
        <v>64.97</v>
      </c>
      <c r="L47" s="10">
        <v>65.25</v>
      </c>
      <c r="M47" s="10">
        <v>194.34</v>
      </c>
      <c r="N47" s="56">
        <f t="shared" si="1"/>
        <v>60.22</v>
      </c>
      <c r="O47" s="47">
        <f t="shared" si="2"/>
        <v>0.98000000000000398</v>
      </c>
      <c r="P47" s="47">
        <f t="shared" si="3"/>
        <v>3.769999999999996</v>
      </c>
      <c r="Q47" s="47">
        <f t="shared" si="4"/>
        <v>0.28000000000000114</v>
      </c>
      <c r="R47" s="47">
        <f t="shared" si="5"/>
        <v>129.09</v>
      </c>
    </row>
    <row r="48" spans="2:18" x14ac:dyDescent="0.25">
      <c r="B48" s="14" t="s">
        <v>20</v>
      </c>
      <c r="C48" s="15"/>
      <c r="D48" s="16"/>
      <c r="E48" s="22"/>
      <c r="F48" s="22"/>
      <c r="G48" s="22"/>
      <c r="H48" s="22"/>
      <c r="I48" s="27">
        <v>38.94</v>
      </c>
      <c r="J48" s="9">
        <v>64.56</v>
      </c>
      <c r="K48" s="9">
        <v>67.73</v>
      </c>
      <c r="L48" s="9">
        <v>102.18</v>
      </c>
      <c r="M48" s="9">
        <v>113.14</v>
      </c>
      <c r="N48" s="57">
        <f t="shared" si="1"/>
        <v>38.94</v>
      </c>
      <c r="O48" s="48">
        <f t="shared" si="2"/>
        <v>25.620000000000005</v>
      </c>
      <c r="P48" s="48">
        <f t="shared" si="3"/>
        <v>3.1700000000000017</v>
      </c>
      <c r="Q48" s="48">
        <f t="shared" si="4"/>
        <v>34.450000000000003</v>
      </c>
      <c r="R48" s="48">
        <f t="shared" si="5"/>
        <v>10.959999999999994</v>
      </c>
    </row>
    <row r="49" spans="2:18" x14ac:dyDescent="0.25">
      <c r="B49" s="14" t="s">
        <v>21</v>
      </c>
      <c r="C49" s="15"/>
      <c r="D49" s="16"/>
      <c r="E49" s="22"/>
      <c r="F49" s="22"/>
      <c r="G49" s="22"/>
      <c r="H49" s="22"/>
      <c r="I49" s="26">
        <v>38.11</v>
      </c>
      <c r="J49" s="10">
        <v>62.36</v>
      </c>
      <c r="K49" s="10">
        <v>66.430000000000007</v>
      </c>
      <c r="L49" s="10">
        <v>101.03</v>
      </c>
      <c r="M49" s="10">
        <v>117.32</v>
      </c>
      <c r="N49" s="56">
        <f t="shared" si="1"/>
        <v>38.11</v>
      </c>
      <c r="O49" s="47">
        <f t="shared" si="2"/>
        <v>24.25</v>
      </c>
      <c r="P49" s="47">
        <f t="shared" si="3"/>
        <v>4.0700000000000074</v>
      </c>
      <c r="Q49" s="47">
        <f t="shared" si="4"/>
        <v>34.599999999999994</v>
      </c>
      <c r="R49" s="47">
        <f t="shared" si="5"/>
        <v>16.289999999999992</v>
      </c>
    </row>
    <row r="50" spans="2:18" ht="16.5" thickBot="1" x14ac:dyDescent="0.3">
      <c r="B50" s="17" t="s">
        <v>14</v>
      </c>
      <c r="C50" s="18"/>
      <c r="D50" s="19"/>
      <c r="E50" s="23"/>
      <c r="F50" s="23"/>
      <c r="G50" s="23"/>
      <c r="H50" s="23"/>
      <c r="I50" s="28">
        <v>36.82</v>
      </c>
      <c r="J50" s="24">
        <v>62</v>
      </c>
      <c r="K50" s="24">
        <v>68.45</v>
      </c>
      <c r="L50" s="24">
        <v>102.32</v>
      </c>
      <c r="M50" s="24">
        <v>128.41</v>
      </c>
      <c r="N50" s="58">
        <f t="shared" si="1"/>
        <v>36.82</v>
      </c>
      <c r="O50" s="49">
        <f t="shared" si="2"/>
        <v>25.18</v>
      </c>
      <c r="P50" s="49">
        <f t="shared" si="3"/>
        <v>6.4500000000000028</v>
      </c>
      <c r="Q50" s="49">
        <f t="shared" si="4"/>
        <v>33.86999999999999</v>
      </c>
      <c r="R50" s="49">
        <f t="shared" si="5"/>
        <v>26.090000000000003</v>
      </c>
    </row>
    <row r="51" spans="2:18" ht="16.5" thickBot="1" x14ac:dyDescent="0.3"/>
    <row r="52" spans="2:18" ht="16.5" thickBot="1" x14ac:dyDescent="0.3">
      <c r="B52" s="37" t="s">
        <v>23</v>
      </c>
      <c r="C52" s="38"/>
      <c r="I52" s="2">
        <f>$F$30</f>
        <v>96.54</v>
      </c>
      <c r="J52" s="2">
        <f t="shared" ref="J52:M52" si="6">$F$30</f>
        <v>96.54</v>
      </c>
      <c r="K52" s="2">
        <f t="shared" si="6"/>
        <v>96.54</v>
      </c>
      <c r="L52" s="2">
        <f t="shared" si="6"/>
        <v>96.54</v>
      </c>
      <c r="M52" s="2">
        <f t="shared" si="6"/>
        <v>96.54</v>
      </c>
      <c r="N52" s="3">
        <v>1000</v>
      </c>
      <c r="O52" s="3">
        <v>0</v>
      </c>
      <c r="P52" s="3">
        <v>0</v>
      </c>
      <c r="Q52" s="3">
        <v>0</v>
      </c>
      <c r="R52" s="3">
        <v>0</v>
      </c>
    </row>
  </sheetData>
  <pageMargins left="0.7" right="0.7" top="0.75" bottom="0.75" header="0.3" footer="0.3"/>
  <pageSetup scale="3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FootBall Field</vt:lpstr>
      <vt:lpstr>'FootBall Field'!Company_Name</vt:lpstr>
      <vt:lpstr>'FootBall Field'!Print_Area</vt:lpstr>
      <vt:lpstr>'FootBall Field'!Share_Price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BIWS</dc:creator>
  <cp:lastModifiedBy>Ehtisham Safdar</cp:lastModifiedBy>
  <cp:lastPrinted>2019-05-24T16:02:44Z</cp:lastPrinted>
  <dcterms:created xsi:type="dcterms:W3CDTF">2014-03-07T00:48:59Z</dcterms:created>
  <dcterms:modified xsi:type="dcterms:W3CDTF">2023-06-11T20:00:16Z</dcterms:modified>
</cp:coreProperties>
</file>